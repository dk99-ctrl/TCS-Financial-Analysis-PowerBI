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d1ea17c1eb87dfb/Desktop/"/>
    </mc:Choice>
  </mc:AlternateContent>
  <xr:revisionPtr revIDLastSave="148" documentId="11_F25DC773A252ABDACC1048BC915A7E9C5ADE58EB" xr6:coauthVersionLast="47" xr6:coauthVersionMax="47" xr10:uidLastSave="{21AD53D9-2AF5-4EF5-BCBD-5CD5FE634671}"/>
  <bookViews>
    <workbookView xWindow="-108" yWindow="-108" windowWidth="23256" windowHeight="12456" xr2:uid="{00000000-000D-0000-FFFF-FFFF00000000}"/>
  </bookViews>
  <sheets>
    <sheet name="Master_Sheet" sheetId="1" r:id="rId1"/>
    <sheet name="financial_analysi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4" i="1"/>
  <c r="G3" i="1"/>
  <c r="G2" i="1"/>
  <c r="G5" i="1"/>
  <c r="E8" i="2" l="1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<sst xmlns="http://schemas.openxmlformats.org/spreadsheetml/2006/main" count="12" uniqueCount="12">
  <si>
    <t>Equity</t>
  </si>
  <si>
    <t>Total Liabilities</t>
  </si>
  <si>
    <t xml:space="preserve">Total Assets </t>
  </si>
  <si>
    <t xml:space="preserve">Net Profit </t>
  </si>
  <si>
    <t>Operating Profit</t>
  </si>
  <si>
    <t>Revenue</t>
  </si>
  <si>
    <t>Year</t>
  </si>
  <si>
    <t>ROE</t>
  </si>
  <si>
    <t>ROA</t>
  </si>
  <si>
    <t>Operating Margin</t>
  </si>
  <si>
    <t>Net Profit Margin</t>
  </si>
  <si>
    <t>Revenue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</si>
</sst>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nyanesh\Downloads\TCS.xlsx" TargetMode="External"/><Relationship Id="rId1" Type="http://schemas.openxmlformats.org/officeDocument/2006/relationships/externalLinkPath" Target="file:///C:\Users\Dnyanesh\Downloads\T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>
        <row r="5">
          <cell r="E5">
            <v>89071</v>
          </cell>
          <cell r="F5">
            <v>83751</v>
          </cell>
          <cell r="G5">
            <v>86063</v>
          </cell>
          <cell r="H5">
            <v>88773</v>
          </cell>
          <cell r="I5">
            <v>90058</v>
          </cell>
          <cell r="J5">
            <v>90127</v>
          </cell>
          <cell r="K5">
            <v>94394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9" sqref="G9"/>
    </sheetView>
  </sheetViews>
  <sheetFormatPr defaultRowHeight="14.4" x14ac:dyDescent="0.3"/>
  <cols>
    <col min="2" max="2" width="12.77734375" bestFit="1" customWidth="1"/>
    <col min="3" max="3" width="14.109375" bestFit="1" customWidth="1"/>
    <col min="4" max="4" width="11.33203125" bestFit="1" customWidth="1"/>
    <col min="5" max="5" width="12.77734375" bestFit="1" customWidth="1"/>
    <col min="6" max="6" width="13.33203125" bestFit="1" customWidth="1"/>
    <col min="7" max="7" width="19.6640625" customWidth="1"/>
    <col min="8" max="8" width="13.6640625" bestFit="1" customWidth="1"/>
    <col min="10" max="11" width="15.21875" bestFit="1" customWidth="1"/>
    <col min="12" max="12" width="16.5546875" bestFit="1" customWidth="1"/>
  </cols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>
        <v>2019</v>
      </c>
      <c r="B2" s="1">
        <v>146463</v>
      </c>
      <c r="C2" s="1">
        <v>39506</v>
      </c>
      <c r="D2" s="1">
        <v>31472</v>
      </c>
      <c r="E2" s="1">
        <v>113901</v>
      </c>
      <c r="F2" s="1">
        <v>113901</v>
      </c>
      <c r="G2" s="1">
        <f>375+'[1]Balance Sheet'!$E$5</f>
        <v>89446</v>
      </c>
    </row>
    <row r="3" spans="1:7" x14ac:dyDescent="0.3">
      <c r="A3">
        <v>2020</v>
      </c>
      <c r="B3" s="1">
        <v>156949</v>
      </c>
      <c r="C3" s="1">
        <v>42109</v>
      </c>
      <c r="D3" s="1">
        <v>32340</v>
      </c>
      <c r="E3" s="1">
        <v>120127</v>
      </c>
      <c r="F3" s="1">
        <v>120127</v>
      </c>
      <c r="G3" s="1">
        <f>'[1]Balance Sheet'!$F$5+375</f>
        <v>84126</v>
      </c>
    </row>
    <row r="4" spans="1:7" x14ac:dyDescent="0.3">
      <c r="A4">
        <v>2021</v>
      </c>
      <c r="B4" s="1">
        <v>164177</v>
      </c>
      <c r="C4" s="1">
        <v>46546</v>
      </c>
      <c r="D4" s="1">
        <v>32430</v>
      </c>
      <c r="E4" s="1">
        <v>129992</v>
      </c>
      <c r="F4" s="1">
        <v>129992</v>
      </c>
      <c r="G4" s="1">
        <f>370+'[1]Balance Sheet'!$G$5</f>
        <v>86433</v>
      </c>
    </row>
    <row r="5" spans="1:7" x14ac:dyDescent="0.3">
      <c r="A5">
        <v>2022</v>
      </c>
      <c r="B5" s="1">
        <v>191754</v>
      </c>
      <c r="C5" s="1">
        <v>53057</v>
      </c>
      <c r="D5" s="1">
        <v>38327</v>
      </c>
      <c r="E5" s="1">
        <v>140924</v>
      </c>
      <c r="F5" s="1">
        <v>140924</v>
      </c>
      <c r="G5" s="1">
        <f>'[1]Balance Sheet'!$H$5+366</f>
        <v>89139</v>
      </c>
    </row>
    <row r="6" spans="1:7" x14ac:dyDescent="0.3">
      <c r="A6">
        <v>2023</v>
      </c>
      <c r="B6" s="1">
        <v>225458</v>
      </c>
      <c r="C6" s="1">
        <v>59259</v>
      </c>
      <c r="D6" s="1">
        <v>42147</v>
      </c>
      <c r="E6" s="1">
        <v>142859</v>
      </c>
      <c r="F6" s="1">
        <v>142859</v>
      </c>
      <c r="G6" s="1">
        <f>'[1]Balance Sheet'!$I$5+366</f>
        <v>90424</v>
      </c>
    </row>
    <row r="7" spans="1:7" x14ac:dyDescent="0.3">
      <c r="A7">
        <v>2024</v>
      </c>
      <c r="B7" s="1">
        <v>240893</v>
      </c>
      <c r="C7" s="1">
        <v>64296</v>
      </c>
      <c r="D7" s="1">
        <v>45908</v>
      </c>
      <c r="E7" s="1">
        <v>145472</v>
      </c>
      <c r="F7" s="1">
        <v>145472</v>
      </c>
      <c r="G7" s="1">
        <f>+'[1]Balance Sheet'!$J$5+362</f>
        <v>90489</v>
      </c>
    </row>
    <row r="8" spans="1:7" x14ac:dyDescent="0.3">
      <c r="A8">
        <v>2025</v>
      </c>
      <c r="B8" s="1">
        <v>255324</v>
      </c>
      <c r="C8" s="1">
        <v>67407</v>
      </c>
      <c r="D8" s="1">
        <v>48553</v>
      </c>
      <c r="E8" s="1">
        <v>158649</v>
      </c>
      <c r="F8" s="1">
        <v>158649</v>
      </c>
      <c r="G8" s="1">
        <f>'[1]Balance Sheet'!$K$5+362</f>
        <v>94756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977F-E21D-41B8-961B-600323BA7A34}">
  <dimension ref="A1:E8"/>
  <sheetViews>
    <sheetView workbookViewId="0">
      <selection activeCell="P12" sqref="P12"/>
    </sheetView>
  </sheetViews>
  <sheetFormatPr defaultRowHeight="14.4" x14ac:dyDescent="0.3"/>
  <cols>
    <col min="1" max="1" width="13.6640625" bestFit="1" customWidth="1"/>
    <col min="2" max="2" width="12" bestFit="1" customWidth="1"/>
    <col min="3" max="4" width="15.21875" bestFit="1" customWidth="1"/>
    <col min="5" max="5" width="16.5546875" bestFit="1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s="2">
        <f>Master_Sheet!D2/Master_Sheet!G2</f>
        <v>0.35185475035216779</v>
      </c>
      <c r="B2">
        <f>Master_Sheet!D2/Master_Sheet!E2</f>
        <v>0.2763101289716508</v>
      </c>
      <c r="C2">
        <f>Master_Sheet!C2/Master_Sheet!B2</f>
        <v>0.26973365286795981</v>
      </c>
      <c r="D2">
        <f>Master_Sheet!D2/Master_Sheet!B2</f>
        <v>0.21488020865338003</v>
      </c>
      <c r="E2" s="3">
        <f>(Master_Sheet!B2-123104)/123104</f>
        <v>0.18975012997140628</v>
      </c>
    </row>
    <row r="3" spans="1:5" x14ac:dyDescent="0.3">
      <c r="A3" s="2">
        <f>Master_Sheet!D3/Master_Sheet!G3</f>
        <v>0.38442336495257112</v>
      </c>
      <c r="B3">
        <f>Master_Sheet!D3/Master_Sheet!E3</f>
        <v>0.26921508070625255</v>
      </c>
      <c r="C3">
        <f>Master_Sheet!C3/Master_Sheet!B3</f>
        <v>0.26829734499741953</v>
      </c>
      <c r="D3">
        <f>Master_Sheet!D3/Master_Sheet!B3</f>
        <v>0.20605419594900254</v>
      </c>
      <c r="E3" s="3">
        <f>(Master_Sheet!B3-123104)/123104</f>
        <v>0.27493014036911878</v>
      </c>
    </row>
    <row r="4" spans="1:5" x14ac:dyDescent="0.3">
      <c r="A4" s="2">
        <f>Master_Sheet!D4/Master_Sheet!G4</f>
        <v>0.37520391517128876</v>
      </c>
      <c r="B4">
        <f>Master_Sheet!D4/Master_Sheet!E4</f>
        <v>0.24947689088559297</v>
      </c>
      <c r="C4">
        <f>Master_Sheet!C4/Master_Sheet!B4</f>
        <v>0.28351108864213626</v>
      </c>
      <c r="D4">
        <f>Master_Sheet!D4/Master_Sheet!B4</f>
        <v>0.19753071380278603</v>
      </c>
      <c r="E4" s="3">
        <f>(Master_Sheet!B4-123104)/123104</f>
        <v>0.3336447231609046</v>
      </c>
    </row>
    <row r="5" spans="1:5" x14ac:dyDescent="0.3">
      <c r="A5" s="2">
        <f>Master_Sheet!D5/Master_Sheet!G5</f>
        <v>0.42996892493745725</v>
      </c>
      <c r="B5">
        <f>Master_Sheet!D5/Master_Sheet!E5</f>
        <v>0.27196928841077461</v>
      </c>
      <c r="C5">
        <f>Master_Sheet!C5/Master_Sheet!B5</f>
        <v>0.27669305464292793</v>
      </c>
      <c r="D5">
        <f>Master_Sheet!D5/Master_Sheet!B5</f>
        <v>0.19987588264130082</v>
      </c>
      <c r="E5" s="3">
        <f>(Master_Sheet!B5-123104)/123104</f>
        <v>0.55765856511567458</v>
      </c>
    </row>
    <row r="6" spans="1:5" x14ac:dyDescent="0.3">
      <c r="A6" s="2">
        <f>Master_Sheet!D6/Master_Sheet!G6</f>
        <v>0.46610413164646552</v>
      </c>
      <c r="B6">
        <f>Master_Sheet!D6/Master_Sheet!E6</f>
        <v>0.29502516467285927</v>
      </c>
      <c r="C6">
        <f>Master_Sheet!C6/Master_Sheet!B6</f>
        <v>0.26283831134845514</v>
      </c>
      <c r="D6">
        <f>Master_Sheet!D6/Master_Sheet!B6</f>
        <v>0.18693947431450647</v>
      </c>
      <c r="E6" s="3">
        <f>(Master_Sheet!B6-123104)/123104</f>
        <v>0.83144333246685731</v>
      </c>
    </row>
    <row r="7" spans="1:5" x14ac:dyDescent="0.3">
      <c r="A7" s="2">
        <f>Master_Sheet!D7/Master_Sheet!G7</f>
        <v>0.50733238294157301</v>
      </c>
      <c r="B7">
        <f>Master_Sheet!D7/Master_Sheet!E7</f>
        <v>0.31557963044434667</v>
      </c>
      <c r="C7">
        <f>Master_Sheet!C7/Master_Sheet!B7</f>
        <v>0.26690688396923118</v>
      </c>
      <c r="D7">
        <f>Master_Sheet!D7/Master_Sheet!B7</f>
        <v>0.19057423835478823</v>
      </c>
      <c r="E7" s="3">
        <f>(Master_Sheet!B7-123104)/123104</f>
        <v>0.95682512347283599</v>
      </c>
    </row>
    <row r="8" spans="1:5" x14ac:dyDescent="0.3">
      <c r="A8" s="2">
        <f>Master_Sheet!D8/Master_Sheet!G8</f>
        <v>0.51240027016758838</v>
      </c>
      <c r="B8">
        <f>Master_Sheet!D8/Master_Sheet!E8</f>
        <v>0.30604037844549919</v>
      </c>
      <c r="C8">
        <f>Master_Sheet!C8/Master_Sheet!B8</f>
        <v>0.26400573389105608</v>
      </c>
      <c r="D8">
        <f>Master_Sheet!D8/Master_Sheet!B8</f>
        <v>0.1901623035828986</v>
      </c>
      <c r="E8" s="3">
        <f>(Master_Sheet!B8-123104)/123104</f>
        <v>1.0740512087340786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Master_Sheet</vt:lpstr>
      <vt:lpstr>financial_analysis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</dc:creator>
  <cp:lastModifiedBy>Dnyanesh Khawas</cp:lastModifiedBy>
  <dcterms:created xsi:type="dcterms:W3CDTF">2015-06-05T18:17:20Z</dcterms:created>
  <dcterms:modified xsi:type="dcterms:W3CDTF">2026-02-14T20:20:53Z</dcterms:modified>
</cp:coreProperties>
</file>